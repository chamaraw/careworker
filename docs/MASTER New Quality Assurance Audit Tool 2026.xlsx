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ileycaresupport-my.sharepoint.com/personal/helen_fileycare_co_uk/Documents/Documents/29 Rivulet Road/2026/"/>
    </mc:Choice>
  </mc:AlternateContent>
  <xr:revisionPtr revIDLastSave="0" documentId="8_{3E6E278A-0359-443A-8446-E566F4DC53EB}" xr6:coauthVersionLast="47" xr6:coauthVersionMax="47" xr10:uidLastSave="{00000000-0000-0000-0000-000000000000}"/>
  <bookViews>
    <workbookView xWindow="-96" yWindow="-96" windowWidth="23232" windowHeight="12432" xr2:uid="{00000000-000D-0000-FFFF-FFFF00000000}"/>
  </bookViews>
  <sheets>
    <sheet name="Audit Tool" sheetId="1" r:id="rId1"/>
    <sheet name="Dashboard" sheetId="2"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B19" i="2"/>
  <c r="C18" i="2"/>
  <c r="B18" i="2"/>
  <c r="C17" i="2"/>
  <c r="B17" i="2"/>
  <c r="C16" i="2"/>
  <c r="B16" i="2"/>
  <c r="C15" i="2"/>
  <c r="B15" i="2"/>
  <c r="B9" i="2"/>
  <c r="B8" i="2"/>
  <c r="B7" i="2"/>
  <c r="B5" i="2"/>
  <c r="B4" i="2"/>
  <c r="B3" i="2"/>
  <c r="B11" i="2" l="1"/>
  <c r="D18" i="2"/>
  <c r="D16" i="2"/>
  <c r="D17" i="2"/>
  <c r="D15" i="2"/>
  <c r="D19" i="2"/>
</calcChain>
</file>

<file path=xl/sharedStrings.xml><?xml version="1.0" encoding="utf-8"?>
<sst xmlns="http://schemas.openxmlformats.org/spreadsheetml/2006/main" count="389" uniqueCount="161">
  <si>
    <t>CQC KLOE</t>
  </si>
  <si>
    <t>Section</t>
  </si>
  <si>
    <t>Audit Criteria</t>
  </si>
  <si>
    <t>Evidence Seen</t>
  </si>
  <si>
    <t>Compliant (Y/N)</t>
  </si>
  <si>
    <t>RAG</t>
  </si>
  <si>
    <t>CommentsActions / Recommendations</t>
  </si>
  <si>
    <t>Responsible Person</t>
  </si>
  <si>
    <t>Target Date</t>
  </si>
  <si>
    <t>WELL-LED</t>
  </si>
  <si>
    <t>Team Meetings &amp; Staff Conduct</t>
  </si>
  <si>
    <t>Meeting frequency, attendance, minutes</t>
  </si>
  <si>
    <t>Staff on suspension / disciplinary / improvement plans (number)</t>
  </si>
  <si>
    <t>Staffing Overview</t>
  </si>
  <si>
    <t>All staff wear Filey Care uniforms and are presentable, including appropriate footwear.</t>
  </si>
  <si>
    <t>The staff-to-service-user ratio is appropriate to cover both core hours and one-to-one support.</t>
  </si>
  <si>
    <t>Current agency staff in use (number &amp; reason)</t>
  </si>
  <si>
    <t>Induction process for agency staff</t>
  </si>
  <si>
    <t>Overall sickness level (including long-term)</t>
  </si>
  <si>
    <t>Staff retention &amp; vacancies</t>
  </si>
  <si>
    <t>Supervision frequency &amp; outcomes
(Supervision Matrix)</t>
  </si>
  <si>
    <t>Appraisal process</t>
  </si>
  <si>
    <t>EFFECTIVE</t>
  </si>
  <si>
    <t>Training &amp; Competency</t>
  </si>
  <si>
    <t>Mandatory training compliance (online, face to face, virtual)
Training matrix provided and up to date</t>
  </si>
  <si>
    <t>Identified training needs and timescales</t>
  </si>
  <si>
    <t>Recruitment &amp; Staff Files</t>
  </si>
  <si>
    <t>Any other documents</t>
  </si>
  <si>
    <t>CARING</t>
  </si>
  <si>
    <t>People &amp; Wellbeing</t>
  </si>
  <si>
    <t>Support plans reviewed regularly
Person centred?</t>
  </si>
  <si>
    <t>Mental Capacity Assessments (decision-specific)</t>
  </si>
  <si>
    <t>Court of Protection involvement / matrix
LPA / Advocacy arrangements/OPG100 Form (Office of Public Guiding Application online)</t>
  </si>
  <si>
    <t>Risk assessments (e.g., additional r/a identified in support plans, diabetic, epilepsy, mental health, falls, self-harm, medication)</t>
  </si>
  <si>
    <t>Daily notes – accurate, dated, signed, title of task/activity, duration of time recorded for each activity.</t>
  </si>
  <si>
    <t>Monthly Progress Report (Sharing i.e. social workers, Care coordinator)
Handovers (Recording/Communication</t>
  </si>
  <si>
    <t>Service user involvement in planning and decision-making</t>
  </si>
  <si>
    <t>Keyworker meetings</t>
  </si>
  <si>
    <t>PEEPs with photographs in place</t>
  </si>
  <si>
    <t>End-of-life planning where relevant</t>
  </si>
  <si>
    <t>Safe management of money and belongings</t>
  </si>
  <si>
    <t>Secure storage of service user files</t>
  </si>
  <si>
    <t>SAFE</t>
  </si>
  <si>
    <t>Medication Support</t>
  </si>
  <si>
    <t>Medication storage</t>
  </si>
  <si>
    <t>MAR sheets / PRN protocols completed accurately</t>
  </si>
  <si>
    <t>Stock checks / visual count match
Controlled drugs (if applicable)</t>
  </si>
  <si>
    <t>Covert medication / best interest decisions</t>
  </si>
  <si>
    <t>Medication error records and notifications</t>
  </si>
  <si>
    <t>Medication competence assessments</t>
  </si>
  <si>
    <t>Fridge temperature checks and use</t>
  </si>
  <si>
    <t>Support for self-administration (assessed and documented)</t>
  </si>
  <si>
    <t>Nutrition &amp; Health</t>
  </si>
  <si>
    <t>Food passport / pictorial menus. Including likes/dislikes.</t>
  </si>
  <si>
    <t>Special dietary requirements (e.g., cultural, allergies, texture)</t>
  </si>
  <si>
    <t>Hydration and nutritional monitoring if required</t>
  </si>
  <si>
    <t>Malnutrition screening (e.g., MUST tool)</t>
  </si>
  <si>
    <t>Involvement of GP, SALT, dietitian, optician, dentist, etc.</t>
  </si>
  <si>
    <t>Support for access to healthcare appointments</t>
  </si>
  <si>
    <t>RESPONSIVE</t>
  </si>
  <si>
    <t>Engagement &amp; Activities</t>
  </si>
  <si>
    <t>Weekly activity schedules</t>
  </si>
  <si>
    <t>Evidence of social, physical, and meaningful activities. 
Outings, peer groups, and community participation</t>
  </si>
  <si>
    <t>Service user involvement in planning activities</t>
  </si>
  <si>
    <t>Support for inclusion (cultural, LGBTQ+, religious needs)</t>
  </si>
  <si>
    <t>Safeguarding &amp; Health &amp; Safety</t>
  </si>
  <si>
    <t>Safeguarding logs/matrix including actions and learning/ investigation process/policy</t>
  </si>
  <si>
    <t>Incident / accident / near miss logs/matrix
Learning from incidents evidenced</t>
  </si>
  <si>
    <t>Visitors signing in and out. 
CQC registration displayed. 
ICO certificate in place</t>
  </si>
  <si>
    <t>Health &amp; Safety - General Premises Environmental Safety (Lighting, Heating, Trip Hazards) Health and safety poster.</t>
  </si>
  <si>
    <t>Infection Control Measures (Check for hazards, cleaning schedules, Infection control signs, hand washing signs, kitchen colour code board sign, chopping boards Extractor fans/oven and hob, microwaves, air fryers)</t>
  </si>
  <si>
    <t>PPE Availability and Use</t>
  </si>
  <si>
    <t>COSHH (Control of Substances Hazardous to Health) Compliance. Sign.</t>
  </si>
  <si>
    <t>Equipment safety (where applicable i.e. hoist etc.)</t>
  </si>
  <si>
    <t>Fire drills / evacuation plans / alarm systems/ smoke detectors/ fire signs/ assembly point posters/ fire extinguishers/ carbon monoxide detectors/ fire doors/thumb locks. 
Gas / electrical / PAT certification (Is there a fire file in place and a fire logbook) general building fire risk assessment</t>
  </si>
  <si>
    <t>Grab bag (batteries in torch, hi-vis out of packaging.</t>
  </si>
  <si>
    <t>Business continuity plan in place and understood</t>
  </si>
  <si>
    <t>Pest control and waste management</t>
  </si>
  <si>
    <t>First Aid (box, posters, surplus stock for replenishment, first aid checklist and weekly audit)</t>
  </si>
  <si>
    <t>Risk Assessments (Premises General and Individual i.e. H&amp;S, lone working, service user smokers, emollients etc.)</t>
  </si>
  <si>
    <t>CCTV in operation sign/risk assessment and included in the tenancy agreement.</t>
  </si>
  <si>
    <t>Governance &amp; Feedback</t>
  </si>
  <si>
    <t>Surveys/service improvements. Service users/families, friends and advocates/professional/staff</t>
  </si>
  <si>
    <t>Feedback from service users and families</t>
  </si>
  <si>
    <t>Complaints / compliments logs/matrix and outcomes/ are staff aware of the complaint’s procedure. Is there information on what to do and how to contact the provider, LA / LGO</t>
  </si>
  <si>
    <t xml:space="preserve">Resident meetings. (are they person centred) Are they regular </t>
  </si>
  <si>
    <t>Policy and procedure reviews (last updated dates)</t>
  </si>
  <si>
    <t>Statement of Purpose and welcome information visible and includes complaints procedure.</t>
  </si>
  <si>
    <t>Manager &amp; Staff comments</t>
  </si>
  <si>
    <t>Service user feedback face to face.</t>
  </si>
  <si>
    <t>Quality Assurance Dashboard</t>
  </si>
  <si>
    <t>Total Audit Items</t>
  </si>
  <si>
    <t>Compliant (Yes)</t>
  </si>
  <si>
    <t>Non-Compliant (No)</t>
  </si>
  <si>
    <t>Green</t>
  </si>
  <si>
    <t>Amber</t>
  </si>
  <si>
    <t>Red</t>
  </si>
  <si>
    <t>% Compliance (Yes / (Yes+No))</t>
  </si>
  <si>
    <t>Compliance by CQC KLOE</t>
  </si>
  <si>
    <t>KLOE</t>
  </si>
  <si>
    <t>Yes</t>
  </si>
  <si>
    <t>No</t>
  </si>
  <si>
    <t>% Compliance</t>
  </si>
  <si>
    <t>Quality audits 
Medication Audits (Monthly, 28-Day Cycle)
Communication Audits (Monthly)
One service user is selected each month for a communication audit, which includes a review of daily notes and staff handovers. For individuals who lack capacity, communication audits must be completed every month, regardless of rotation, to ensure oversight of documentation and communication integrity.
Staff Spot Checks (Monthly)
Monthly staff spot checks are completed by the Manager. Team size determines frequency:
Smaller teams: 1 staff member per month
Larger teams: 2 staff members per month
Health &amp; Safety, Infection Control, and Fire Safety Cleaning Audits (Quarterly)
Service User Folder Audits (Quarterly)
First Aid Kit Audits (Weekly)</t>
  </si>
  <si>
    <t>Team meetings are held monthly; however, actions from previous meetings must be reviewed at the start of each meeting. This was not referenced in the last three sets of minutes reviewed.
Please ensure the correct meeting template (available on Atlas) is used, as it contains a set agenda that you can add to and ensures actions are consistently reviewed.</t>
  </si>
  <si>
    <t>Use the correct staff meeting template and include a review of previous meeting actions as the first agenda item going forward.</t>
  </si>
  <si>
    <t>None</t>
  </si>
  <si>
    <t>All staff were wearing uniforms, suitable footwear, and were presentable on the day of the visit.</t>
  </si>
  <si>
    <t>Staffing levels were compliant on the day of the visit, with two support workers and one manager on shift supporting four service users.</t>
  </si>
  <si>
    <t>No staff members are currently off sick</t>
  </si>
  <si>
    <t>Staff retention is good</t>
  </si>
  <si>
    <t>Supervision is conducted quarterly. The supervision matrix was reviewed and provided clear evidence that supervisions are being completed as required.</t>
  </si>
  <si>
    <t>Appraisals are conducted annually. Dates are recorded on the supervision matrix, with the next due dates clearly inputted.</t>
  </si>
  <si>
    <t>Induction process is completed by HR and then reviewed by the line manager.</t>
  </si>
  <si>
    <t>Not all MCA2s were completed on Cura. Examples of completed MCA templates were provided to the manager to support accurate completion going forward.</t>
  </si>
  <si>
    <t>There are none in place.</t>
  </si>
  <si>
    <t>Key worker sessions need to be more detailed and written in a more person‑centred way. The individual’s voice should be clearly reflected throughout. We must evidence that residents are actively involved in their sessions and are asked about their preferred activities and choices.</t>
  </si>
  <si>
    <t xml:space="preserve">Service users files are kept in a secure filing cabinet in the office. </t>
  </si>
  <si>
    <t>A visitors’ sign‑in and sign‑out book is in place. I was asked to sign in on arrival and sign out upon leaving, demonstrating that the process is actively followed.
The CQC registration certificate is not displayed, which is appropriate as this is not a regulated unit.
The ICO (Information Commissioner’s Office) registration certificate is clearly displayed and currently in date.</t>
  </si>
  <si>
    <t>PPE fully available (gloves, aprons) and used correctly.
Staff know when to use gloves, aprons, and when alcohol gel is not appropriate.
PPE disposal compliant and correctly managed.</t>
  </si>
  <si>
    <t>Not Applicable</t>
  </si>
  <si>
    <t xml:space="preserve">BCP is in place, both in the health and safety file and the grab bag. However needs updating in the contact section. </t>
  </si>
  <si>
    <t>Infection Prevention &amp; Control (IPC)
The Infection Prevention &amp; Control (IPC) policy is in place, up to date, and aligned with the 2015 Code of Practice.
Staff are able to access the IPC policy and could demonstrate awareness of procedures.
Cleaning rotas were completed and signed. The most up‑to‑date cleaning rota template was printed and replaced on the day of the visit (16.03.26).
Actions Identified on 16.03.26 and Completed by 18.03.26
Hand‑washing signage: Posters were present but old, worn, or faded.
✔ All posters have now been replaced with new versions.
Kitchen area:
Kitchen surfaces and equipment were generally clean, but ceiling staining from a leak made the area unsatisfactory.
✔ Kitchen, including oven and extractor fan, has been fully cleaned.
✔ Ceiling repainting scheduled and completed on the day of the QA visit (18.03.26).
Garden area:
Clutter and rubbish noted, including a shopping trolley.
Side‑gate area (emergency exit route) required clearing.
✔ Garden and pathways fully cleared on day of visit.
Cleaning storage cupboard:
Area was disorganised and not compliant with COSHH standards.
✔ Cupboard reorganised and stock separated appropriately.
✔ COSHH signage added to the outside of the cupboard.</t>
  </si>
  <si>
    <t>Findings (16.03.26)
COSHH data sheets were found to be complete, up to date, and accessible.
COSHH cupboard was:
Locked but missing required COSHH hazard signage.
Disorganised, with daily‑use items mixed with unopened stock, which is non‑compliant with COSHH storage principles.
Lacking clear separation of chemicals and appropriate ordering of products.
Actions Completed (by 18.03.26)
✔ COSHH cupboard reorganised and stock separated appropriately.
✔ Daily‑use products and long‑term/unopened stock now stored separately.
✔ COSHH hazard sign installed on the cupboard door.
✔ Area now compliant with COSHH good‑practice expectations.</t>
  </si>
  <si>
    <t>General Environmental Safety
Overall environment clean and accessible across key areas including the office, corridors, stairs, and front of house.
Trip hazards minimal; corridors and stairways observed to be clear of obstruction.
Repairs and Environmental Actions
Corridor walls:
Initially noted as marked and requiring repainting.
✔ Corridor walls have now been repainted.
Stair carpet:
Identified as worn and likely to require replacement in the future.
✔ Replacement planned for a later date.
Kitchen ceiling (water ingress):
Ceiling staining due to previous leak, requiring investigation and repair.
✔ Ceiling repainting scheduled and being completed on the day of QA visit (18.03.26).
Emergency Lighting
Emergency lighting initially not present in the office, rear garden, or side‑gate pathway — non‑compliant.
✔ Emergency lighting has now been installed and is in place.
Health &amp; Safety Law Poster
Poster was displayed but incomplete, lacking the name, surname, and contact details of the responsible person — non‑compliant.
✔ Poster has now been fully completed with the required information.</t>
  </si>
  <si>
    <t>Fire drills have been completed and recorded.
Emergency fire procedures were available during the H&amp;S check on 16.03.26.
Fire extinguishers inspected and in good working condition.
Fire blankets present, uncovered, and compliant.
Several detectors were identified as old and requiring replacement.
✔ All outdated detectors were replaced on 18.03.26.
A smoke detector was missing in the office (non‑compliant).
✔ New detector installed in the office.
Fire Signage &amp; Evacuation Information
Fire exit signs and “Fire Door Keep Clear” signage were missing.
✔ All required signage is now installed.
Fire assembly point information was not displayed at the front entrance or office.
✔ Fire assembly point signage is now in place.
Fire point was unclear/unidentified.
✔ Fire point now clearly marked.
Certification &amp; Compliance
Gas Safety Certificate was out of date.
✔ Updated version now in place.
Electrical Installation Certificate was out of date.
✔ Updated certificate completed but awaiting copy from Head Office.
PAT Testing Certificate was out of date.
✔ Updated testing completed but certificate not yet received from Head Office.
Carbon Monoxide (CO) risk assessment was missing from the H&amp;S file.
✔ Now completed and stored in the Citation Fire Book.
Fire doors and smoke strips were observed to be in good condition.
All internal doors opened and closed correctly.
Window restrictors were in place and functioning.
Door locks operating correctly.</t>
  </si>
  <si>
    <t>Michael</t>
  </si>
  <si>
    <t>Manager to complete all outstanding MCA2s on Cura and ensure all future MCA2s are accurately recorded using the correct template. Action has now been completed.</t>
  </si>
  <si>
    <t xml:space="preserve">PEEPS have been viewed in the service user files and the grab bag. </t>
  </si>
  <si>
    <t>Grab bag checked and all information and contents in place. Torch functioning and batteries included, Hi‑vis jackets out of packaging</t>
  </si>
  <si>
    <t xml:space="preserve">visit on 24/03/26 - BCP now updated. </t>
  </si>
  <si>
    <t>Pest Control Report in date.
Waste disposed of appropriately and PPE available for cleaning staff.
Garden area contained some rubbish, requires clearing.</t>
  </si>
  <si>
    <t xml:space="preserve">visit on 24/03/26 - Garden area now cleared. </t>
  </si>
  <si>
    <t>First Aid Poster missing, must be displayed.
First aid resources not described, checklist and confirmation needed.</t>
  </si>
  <si>
    <t xml:space="preserve">visit on 24/03/26 - First Aid poster now displayed in the communal area. </t>
  </si>
  <si>
    <t>All actions completed - viewed on 24/03/26</t>
  </si>
  <si>
    <t xml:space="preserve">Staff aware of injury/splash‑incident process and contacts.
CO risk assessment missing. Now completed and filed in the H&amp;S file
Fire Risk Assessment in place. - actions have been marked as completed or pending. </t>
  </si>
  <si>
    <t>CCTV signs not present internally or at main entrance, non‑compliant. CCTV signs now observed in the hallway at the entrance of the building and in the communal area.
ICO certificate displayed and valid.
CCTV signage required for safety, privacy, and legal compliance.</t>
  </si>
  <si>
    <t xml:space="preserve">All required audits are completed by the provision and actions followed through. </t>
  </si>
  <si>
    <t>Annual surveys are completed across the service, and distribution is managed by the HR team. The organisation has now transitioned to an electronic survey system, allowing feedback to be submitted easily via an online link. Surveys are distributed to staff, service users, professionals, families, advocates, and friends to ensure a comprehensive and inclusive collection of views.
For service users who lack capacity, an Easy Read version of the survey is available to support engagement and ensure their voices are captured in an accessible and meaningful way. 
All survey responses are evaluated, and the outcomes are shared with management, staff, service users, and families, ensuring transparency and closing the feedback loop to drive continuous improvement.</t>
  </si>
  <si>
    <t>All staff medication competencies have been completed and verified.
Competencies were viewed in staff files during the audit and found to be up to date.
Competency status is tracked and monitored through the Supervision Matrix, which is overseen by HR and line managers to ensure ongoing compliance.
No outstanding actions identified in this area.</t>
  </si>
  <si>
    <t>Observed on the day of visit: Medication stored securely in a locked office cabinet.
Individual boxes clearly labelled with service users’ names.
Thermometer in place, reading maintained at 23°C.
Daily temperature check recorded on checklist and up to date.</t>
  </si>
  <si>
    <t>No covert medication in place.</t>
  </si>
  <si>
    <t>MARs and PRN protocols were checked by the medication lead on a separate audit form. They were found to be accurate. statement from audit: "I worked there throughout the day, and Olivia was also present. I reviewed all service users’ medication care plans, PRN protocols, MAR charts, and care passports. I identified some inconsistencies and informed Michael and Olivia, which have now been corrected.
More importantly, the service users’ files were re-arranged according to the updated format prepared by Helen. In addition, a separate medication master file containing all service users’ medication documents has been created."</t>
  </si>
  <si>
    <t>The Medication Lead completes unannounced medication counts, providing an additional layer of oversight and compliance.
The most recent unannounced count was completed on 09/03/2026, during which a small number of issues were identified.
An action plan has been sent to Rivulet to address and rectify the issues found, and this is currently in progress.
Daily medication stock counts are being completed consistently.
These daily counts should be recorded in the Cura system, which is the organisation’s current digital method for medication tracking.
However, during the visit, the provision was found to be using the older paper-based form, which was viewed on the day.
The service was advised to transition to the Cura system for daily medication counts going forward to align with updated organisational processes.
Compliance has not been compromised, as stock counts are being completed correctly regardless of whether they are recorded on paper or in Cura.</t>
  </si>
  <si>
    <t>The service was advised to transition to the Cura system for daily medication counts going forward to align with updated organisational processes.</t>
  </si>
  <si>
    <t>Medication errors are managed in line with procedure.
Incident reports are completed on Cura following any error.
Further actions are taken depending on the nature and severity of the error (e.g., escalation, review, retraining).</t>
  </si>
  <si>
    <t>Evidence was seen of a fridge temperature checklist displayed on the fridge and being completed daily. No medication is currently stored in the fridge, as this is not required for the medicines in use at present.</t>
  </si>
  <si>
    <t>Each service user’s food preferences, including likes and dislikes, are recorded on their profile page within the Cura system. For RG, the following information is documented:
•	Likes: Pastries, toast with spread (butter),fries, Pasta, Pizza, red meat, rice with stewed grilled chicken, coffee, jerk chicken and Caribbean food..
•	Dislikes:No dislikes in regards to food documented. 
RG’s weekly food planner on Cura is not completed as RG is independent with cooking and planning his meals, therefore is not a requirement.
Within RG’s Nutrition Care Plan, it states:
“I am able to shop for food and prepare meals for myself. However, there may be times when I need occasional reminders to plan meals or prepare food regularly, particularly when my mood is low or when I am experiencing difficulties with my mental health.”
This remains appropriate and continues to reflect his current level of need. The plan is reviewed as required and updated if there are any changes in his health, dietary needs, or level of independence.
RG’s nutritional goals and expected outcomes are clearly defined within his care plan:I want to continue preparing and eating my meals independently while having the freedom to choose the foods I enjoy. I want to maintain a healthy and balanced diet while keeping my cultural food preferences. 
I would like staff to support me with gentle reminders if needed, particularly if I forget to eat or prepare meals during periods of low mood. I want to stay healthy and maintain my energy levels to support my daily activities without feeling pressured or restricted in my food choices. The nutritional plan was reviewed 14/03/26</t>
  </si>
  <si>
    <t xml:space="preserve">RG states in his nutritional care plan: I enjoy cooking Caribbean food, particularly meals that include rice and curries. I sometimes visit my mother to collect meals, and I value this connection with my family as well as the independence it gives me. He has no allergies known which is clearly stated on his Cura profile highlighted red </t>
  </si>
  <si>
    <t>In RG's Nutritional care plan it states: Staff will provide reminders if they notice that I have not eaten or if I appear to be skipping meals, particularly during periods of low mood, relapse, or withdrawal.
Staff will monitor my nutritional intake and note any significant changes in appetite, weight, or eating patterns, reporting concerns where appropriate.
Staff will support me in maintaining a balanced diet while respecting my cultural preferences for Caribbean food and my personal choices.
Staff will encourage me to remain hydrated and ensure that drinks are easily accessible throughout the day.</t>
  </si>
  <si>
    <t xml:space="preserve">After viewing the training matrix on Atlas it appears that all staff are in date with their training and up to date.  </t>
  </si>
  <si>
    <t>Evidence across all five staff files reviewed shows that safer recruitment documentation is largely in place and compliant. Application forms, CVs, interview records, offer letters, Right to Work (where relevant), DBS certificates, ID checks, address verification, and employment contracts were all present.
Reference Requirements:
Two staff members (Michael A. and Emmanuel O.) each had only one reference in file. This is due to their long tenure and historical processes prior to the updated HR requirement. Both files now include an explanation in the HR documentation, and the updated HR process mandates two references for all new starters going forward.</t>
  </si>
  <si>
    <t>All staff files contained a completed Induction Checklist and signed Staff Handbook. Probation forms and confirmation letters were present for all relevant staff, demonstrating completion of the induction period and employer sign‑off.</t>
  </si>
  <si>
    <t>Induction Records &amp; Employment Documentation
Included in this section:
Induction Checklist
Staff Handbook
Probation Form / Confirmation Letter
Bank Details (admin/HR requirement, not regulatory)</t>
  </si>
  <si>
    <t>Safer Recruitment Documentation
Included in this section:
Application form
CV
Interview questionnaire
Offer letter
Right to Work documentation (where applicable)
Proof of ID
Two proofs of address &amp; verification
Employment contract
Two staff references
DBS certificate
Job Description
Secondary Employment Declaration
Staff Consent to Working Hours</t>
  </si>
  <si>
    <t>Mandatory training records and specialist training certificates were present for all staff. Medication competence assessments are completed for all except:
Michael Adegborioye: Medication Competence Assessment was present but expired (10/03/25) and therefore out of date; refresher required.
Shadowing &amp; feedback forms were present for all staff, confirming observation‑based competency at induction.</t>
  </si>
  <si>
    <t xml:space="preserve">Qualifications &amp; Training Compliance
Included in this section:
Qualifications (certificates)
Mandatory Training Record/Matrix
Specialist Training Certificates
Medication Competence Assessment
Shadowing &amp; Feedback Form     </t>
  </si>
  <si>
    <t>Supervision records were present for all staff. Appraisal documentation was present for all except:
Michael Adegborioye: Appraisal not found.
Spot checks had been completed on:
Emmanuel Kwarteng – 03/02/26
Emmanuel Odejide – 12/01/26
Izuchukuwu Paul Okeke – 13/03/26
These spot checks confirm ongoing oversight and good management visibility across the workforce.</t>
  </si>
  <si>
    <t xml:space="preserve">Ongoing Performance Monitoring
 Included in this section:
Supervisions
Appraisals
Spot Checks
</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</si>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</sst>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ont>
    <font>
      <b/>
      <sz val="11"/>
      <name val="Calibri"/>
    </font>
    <font>
      <b/>
      <sz val="11"/>
      <color theme="1"/>
      <name val="Calibri"/>
      <family val="2"/>
      <scheme val="minor"/>
    </font>
    <font>
      <b/>
      <sz val="18"/>
      <color theme="1"/>
      <name val="Calibri"/>
      <family val="2"/>
      <scheme val="minor"/>
    </font>
    <font>
      <sz val="18"/>
      <color theme="1"/>
      <name val="Calibri"/>
      <family val="2"/>
      <scheme val="minor"/>
    </font>
    <font>
      <sz val="1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9" fontId="0" fillId="0" borderId="0" xfId="0" applyNumberFormat="1"/>
    <xf numFmtId="0" fontId="2" fillId="0" borderId="0" xfId="0" applyFont="1"/>
    <xf numFmtId="0" fontId="0" fillId="0" borderId="1" xfId="0" applyBorder="1" applyAlignment="1">
      <alignment vertical="top" wrapText="1"/>
    </xf>
    <xf numFmtId="0" fontId="0" fillId="0" borderId="2" xfId="0"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5" fillId="0" borderId="0" xfId="0" applyFont="1" applyAlignment="1">
      <alignment horizontal="center"/>
    </xf>
    <xf numFmtId="0" fontId="0" fillId="2" borderId="1" xfId="0" applyFill="1" applyBorder="1" applyAlignment="1">
      <alignment vertical="top" wrapText="1"/>
    </xf>
    <xf numFmtId="0" fontId="0" fillId="3" borderId="1" xfId="0" applyFill="1" applyBorder="1" applyAlignment="1">
      <alignment vertical="top" wrapText="1"/>
    </xf>
    <xf numFmtId="0" fontId="6" fillId="3" borderId="1" xfId="0" applyFont="1" applyFill="1" applyBorder="1" applyAlignment="1">
      <alignment vertical="top" wrapText="1"/>
    </xf>
    <xf numFmtId="1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2"/>
  <sheetViews>
    <sheetView tabSelected="1" zoomScaleNormal="100" workbookViewId="0">
      <pane ySplit="1" topLeftCell="A2" activePane="bottomLeft" state="frozen"/>
      <selection pane="bottomLeft" activeCell="D15" sqref="D15"/>
    </sheetView>
  </sheetViews>
  <sheetFormatPr defaultRowHeight="14.4" x14ac:dyDescent="0.3"/>
  <cols>
    <col min="1" max="1" width="12" customWidth="1"/>
    <col min="2" max="2" width="28" customWidth="1"/>
    <col min="3" max="3" width="60" customWidth="1"/>
    <col min="4" max="4" width="72.33203125" customWidth="1"/>
    <col min="5" max="5" width="16" customWidth="1"/>
    <col min="6" max="6" width="10" customWidth="1"/>
    <col min="7" max="7" width="40" customWidth="1"/>
    <col min="8" max="8" width="22" customWidth="1"/>
    <col min="9" max="9" width="14" customWidth="1"/>
  </cols>
  <sheetData>
    <row r="1" spans="1:9" s="8" customFormat="1" ht="46.8" x14ac:dyDescent="0.45">
      <c r="A1" s="7" t="s">
        <v>0</v>
      </c>
      <c r="B1" s="7" t="s">
        <v>1</v>
      </c>
      <c r="C1" s="7" t="s">
        <v>2</v>
      </c>
      <c r="D1" s="7" t="s">
        <v>3</v>
      </c>
      <c r="E1" s="7" t="s">
        <v>4</v>
      </c>
      <c r="F1" s="7" t="s">
        <v>5</v>
      </c>
      <c r="G1" s="7" t="s">
        <v>6</v>
      </c>
      <c r="H1" s="7" t="s">
        <v>7</v>
      </c>
      <c r="I1" s="7" t="s">
        <v>8</v>
      </c>
    </row>
    <row r="2" spans="1:9" ht="101.4" customHeight="1" x14ac:dyDescent="0.3">
      <c r="A2" s="6" t="s">
        <v>9</v>
      </c>
      <c r="B2" s="6" t="s">
        <v>10</v>
      </c>
      <c r="C2" s="6" t="s">
        <v>11</v>
      </c>
      <c r="D2" s="5" t="s">
        <v>104</v>
      </c>
      <c r="E2" s="4" t="s">
        <v>101</v>
      </c>
      <c r="F2" s="9" t="s">
        <v>95</v>
      </c>
      <c r="G2" s="4" t="s">
        <v>105</v>
      </c>
      <c r="H2" s="4"/>
      <c r="I2" s="12">
        <v>46112</v>
      </c>
    </row>
    <row r="3" spans="1:9" ht="33" customHeight="1" x14ac:dyDescent="0.3">
      <c r="A3" s="6" t="s">
        <v>9</v>
      </c>
      <c r="B3" s="6" t="s">
        <v>10</v>
      </c>
      <c r="C3" s="6" t="s">
        <v>12</v>
      </c>
      <c r="D3" s="5" t="s">
        <v>106</v>
      </c>
      <c r="E3" s="4" t="s">
        <v>100</v>
      </c>
      <c r="F3" s="10" t="s">
        <v>94</v>
      </c>
      <c r="G3" s="4"/>
      <c r="H3" s="4"/>
      <c r="I3" s="4"/>
    </row>
    <row r="4" spans="1:9" ht="28.8" x14ac:dyDescent="0.3">
      <c r="A4" s="6" t="s">
        <v>9</v>
      </c>
      <c r="B4" s="6" t="s">
        <v>13</v>
      </c>
      <c r="C4" s="6" t="s">
        <v>14</v>
      </c>
      <c r="D4" s="5" t="s">
        <v>107</v>
      </c>
      <c r="E4" s="4" t="s">
        <v>100</v>
      </c>
      <c r="F4" s="10" t="s">
        <v>94</v>
      </c>
      <c r="G4" s="4"/>
      <c r="H4" s="4"/>
      <c r="I4" s="4"/>
    </row>
    <row r="5" spans="1:9" ht="28.8" x14ac:dyDescent="0.3">
      <c r="A5" s="6" t="s">
        <v>9</v>
      </c>
      <c r="B5" s="6" t="s">
        <v>13</v>
      </c>
      <c r="C5" s="6" t="s">
        <v>15</v>
      </c>
      <c r="D5" s="5" t="s">
        <v>108</v>
      </c>
      <c r="E5" s="4" t="s">
        <v>100</v>
      </c>
      <c r="F5" s="10" t="s">
        <v>94</v>
      </c>
      <c r="G5" s="4"/>
      <c r="H5" s="4"/>
      <c r="I5" s="4"/>
    </row>
    <row r="6" spans="1:9" x14ac:dyDescent="0.3">
      <c r="A6" s="6" t="s">
        <v>9</v>
      </c>
      <c r="B6" s="6" t="s">
        <v>13</v>
      </c>
      <c r="C6" s="6" t="s">
        <v>16</v>
      </c>
      <c r="D6" s="5" t="s">
        <v>106</v>
      </c>
      <c r="E6" s="4" t="s">
        <v>100</v>
      </c>
      <c r="F6" s="10" t="s">
        <v>94</v>
      </c>
      <c r="G6" s="4"/>
      <c r="H6" s="4"/>
      <c r="I6" s="4"/>
    </row>
    <row r="7" spans="1:9" x14ac:dyDescent="0.3">
      <c r="A7" s="6" t="s">
        <v>9</v>
      </c>
      <c r="B7" s="6" t="s">
        <v>13</v>
      </c>
      <c r="C7" s="6" t="s">
        <v>17</v>
      </c>
      <c r="D7" s="5" t="s">
        <v>113</v>
      </c>
      <c r="E7" s="4" t="s">
        <v>100</v>
      </c>
      <c r="F7" s="10" t="s">
        <v>94</v>
      </c>
      <c r="G7" s="4"/>
      <c r="H7" s="4"/>
      <c r="I7" s="4"/>
    </row>
    <row r="8" spans="1:9" x14ac:dyDescent="0.3">
      <c r="A8" s="6" t="s">
        <v>9</v>
      </c>
      <c r="B8" s="6" t="s">
        <v>13</v>
      </c>
      <c r="C8" s="6" t="s">
        <v>18</v>
      </c>
      <c r="D8" s="5" t="s">
        <v>109</v>
      </c>
      <c r="E8" s="4" t="s">
        <v>100</v>
      </c>
      <c r="F8" s="10" t="s">
        <v>94</v>
      </c>
      <c r="G8" s="4"/>
      <c r="H8" s="4"/>
      <c r="I8" s="4"/>
    </row>
    <row r="9" spans="1:9" x14ac:dyDescent="0.3">
      <c r="A9" s="6" t="s">
        <v>9</v>
      </c>
      <c r="B9" s="6" t="s">
        <v>13</v>
      </c>
      <c r="C9" s="6" t="s">
        <v>19</v>
      </c>
      <c r="D9" s="5" t="s">
        <v>110</v>
      </c>
      <c r="E9" s="4" t="s">
        <v>100</v>
      </c>
      <c r="F9" s="10" t="s">
        <v>94</v>
      </c>
      <c r="G9" s="4"/>
      <c r="H9" s="4"/>
      <c r="I9" s="4"/>
    </row>
    <row r="10" spans="1:9" ht="72.599999999999994" customHeight="1" x14ac:dyDescent="0.3">
      <c r="A10" s="6" t="s">
        <v>9</v>
      </c>
      <c r="B10" s="6" t="s">
        <v>13</v>
      </c>
      <c r="C10" s="6" t="s">
        <v>20</v>
      </c>
      <c r="D10" s="5" t="s">
        <v>111</v>
      </c>
      <c r="E10" s="4" t="s">
        <v>100</v>
      </c>
      <c r="F10" s="10" t="s">
        <v>94</v>
      </c>
      <c r="G10" s="4"/>
      <c r="H10" s="4"/>
      <c r="I10" s="4"/>
    </row>
    <row r="11" spans="1:9" ht="63.6" customHeight="1" x14ac:dyDescent="0.3">
      <c r="A11" s="6" t="s">
        <v>9</v>
      </c>
      <c r="B11" s="6" t="s">
        <v>13</v>
      </c>
      <c r="C11" s="6" t="s">
        <v>21</v>
      </c>
      <c r="D11" s="5" t="s">
        <v>112</v>
      </c>
      <c r="E11" s="4" t="s">
        <v>100</v>
      </c>
      <c r="F11" s="10" t="s">
        <v>94</v>
      </c>
      <c r="G11" s="4"/>
      <c r="H11" s="4"/>
      <c r="I11" s="4"/>
    </row>
    <row r="12" spans="1:9" ht="43.2" x14ac:dyDescent="0.3">
      <c r="A12" s="6" t="s">
        <v>22</v>
      </c>
      <c r="B12" s="6" t="s">
        <v>23</v>
      </c>
      <c r="C12" s="6" t="s">
        <v>24</v>
      </c>
      <c r="D12" s="5" t="s">
        <v>151</v>
      </c>
      <c r="E12" s="4"/>
      <c r="F12" s="4"/>
      <c r="G12" s="4"/>
      <c r="H12" s="4"/>
      <c r="I12" s="4"/>
    </row>
    <row r="13" spans="1:9" ht="100.8" x14ac:dyDescent="0.3">
      <c r="A13" s="6" t="s">
        <v>22</v>
      </c>
      <c r="B13" s="6" t="s">
        <v>23</v>
      </c>
      <c r="C13" s="6" t="s">
        <v>157</v>
      </c>
      <c r="D13" s="5" t="s">
        <v>156</v>
      </c>
      <c r="E13" s="4"/>
      <c r="F13" s="4"/>
      <c r="G13" s="4"/>
      <c r="H13" s="4"/>
      <c r="I13" s="4"/>
    </row>
    <row r="14" spans="1:9" ht="38.4" customHeight="1" x14ac:dyDescent="0.3">
      <c r="A14" s="6" t="s">
        <v>22</v>
      </c>
      <c r="B14" s="6" t="s">
        <v>23</v>
      </c>
      <c r="C14" s="6" t="s">
        <v>25</v>
      </c>
      <c r="D14" s="5"/>
      <c r="E14" s="4"/>
      <c r="F14" s="4"/>
      <c r="G14" s="4"/>
      <c r="H14" s="4"/>
      <c r="I14" s="4"/>
    </row>
    <row r="15" spans="1:9" ht="219.6" customHeight="1" x14ac:dyDescent="0.3">
      <c r="A15" s="6" t="s">
        <v>9</v>
      </c>
      <c r="B15" s="6" t="s">
        <v>26</v>
      </c>
      <c r="C15" s="6" t="s">
        <v>155</v>
      </c>
      <c r="D15" s="5" t="s">
        <v>152</v>
      </c>
      <c r="E15" s="4"/>
      <c r="F15" s="4"/>
      <c r="G15" s="4"/>
      <c r="H15" s="4"/>
      <c r="I15" s="4"/>
    </row>
    <row r="16" spans="1:9" ht="86.4" x14ac:dyDescent="0.3">
      <c r="A16" s="6" t="s">
        <v>9</v>
      </c>
      <c r="B16" s="6" t="s">
        <v>26</v>
      </c>
      <c r="C16" s="6" t="s">
        <v>154</v>
      </c>
      <c r="D16" s="5" t="s">
        <v>153</v>
      </c>
      <c r="E16" s="4"/>
      <c r="F16" s="4"/>
      <c r="G16" s="4"/>
      <c r="H16" s="4"/>
      <c r="I16" s="4"/>
    </row>
    <row r="17" spans="1:9" ht="129.6" x14ac:dyDescent="0.3">
      <c r="A17" s="6" t="s">
        <v>9</v>
      </c>
      <c r="B17" s="6" t="s">
        <v>26</v>
      </c>
      <c r="C17" s="6" t="s">
        <v>159</v>
      </c>
      <c r="D17" s="5" t="s">
        <v>158</v>
      </c>
      <c r="E17" s="4"/>
      <c r="F17" s="4"/>
      <c r="G17" s="4"/>
      <c r="H17" s="4"/>
      <c r="I17" s="4"/>
    </row>
    <row r="18" spans="1:9" x14ac:dyDescent="0.3">
      <c r="A18" s="6" t="s">
        <v>9</v>
      </c>
      <c r="B18" s="6" t="s">
        <v>26</v>
      </c>
      <c r="C18" s="6" t="s">
        <v>27</v>
      </c>
      <c r="D18" s="5" t="s">
        <v>160</v>
      </c>
      <c r="E18" s="4"/>
      <c r="F18" s="4"/>
      <c r="G18" s="4"/>
      <c r="H18" s="4"/>
      <c r="I18" s="4"/>
    </row>
    <row r="19" spans="1:9" ht="28.8" x14ac:dyDescent="0.3">
      <c r="A19" s="6" t="s">
        <v>28</v>
      </c>
      <c r="B19" s="6" t="s">
        <v>29</v>
      </c>
      <c r="C19" s="6" t="s">
        <v>30</v>
      </c>
      <c r="D19" s="5"/>
      <c r="E19" s="4"/>
      <c r="F19" s="4"/>
      <c r="G19" s="4"/>
      <c r="H19" s="4"/>
      <c r="I19" s="4"/>
    </row>
    <row r="20" spans="1:9" ht="57.6" x14ac:dyDescent="0.3">
      <c r="A20" s="6" t="s">
        <v>28</v>
      </c>
      <c r="B20" s="6" t="s">
        <v>29</v>
      </c>
      <c r="C20" s="6" t="s">
        <v>31</v>
      </c>
      <c r="D20" s="5" t="s">
        <v>114</v>
      </c>
      <c r="E20" s="4" t="s">
        <v>100</v>
      </c>
      <c r="F20" s="11" t="s">
        <v>94</v>
      </c>
      <c r="G20" s="4" t="s">
        <v>127</v>
      </c>
      <c r="H20" s="4" t="s">
        <v>126</v>
      </c>
      <c r="I20" s="12">
        <v>46105</v>
      </c>
    </row>
    <row r="21" spans="1:9" ht="43.2" x14ac:dyDescent="0.3">
      <c r="A21" s="6" t="s">
        <v>28</v>
      </c>
      <c r="B21" s="6" t="s">
        <v>29</v>
      </c>
      <c r="C21" s="6" t="s">
        <v>32</v>
      </c>
      <c r="D21" s="5" t="s">
        <v>115</v>
      </c>
      <c r="E21" s="4" t="s">
        <v>100</v>
      </c>
      <c r="F21" s="10" t="s">
        <v>94</v>
      </c>
      <c r="G21" s="4"/>
      <c r="H21" s="4"/>
      <c r="I21" s="4"/>
    </row>
    <row r="22" spans="1:9" ht="28.8" x14ac:dyDescent="0.3">
      <c r="A22" s="6" t="s">
        <v>28</v>
      </c>
      <c r="B22" s="6" t="s">
        <v>29</v>
      </c>
      <c r="C22" s="6" t="s">
        <v>33</v>
      </c>
      <c r="D22" s="5"/>
      <c r="E22" s="4"/>
      <c r="F22" s="4"/>
      <c r="G22" s="4"/>
      <c r="H22" s="4"/>
      <c r="I22" s="4"/>
    </row>
    <row r="23" spans="1:9" ht="28.8" x14ac:dyDescent="0.3">
      <c r="A23" s="6" t="s">
        <v>28</v>
      </c>
      <c r="B23" s="6" t="s">
        <v>29</v>
      </c>
      <c r="C23" s="6" t="s">
        <v>34</v>
      </c>
      <c r="D23" s="5"/>
      <c r="E23" s="4"/>
      <c r="F23" s="4"/>
      <c r="G23" s="4"/>
      <c r="H23" s="4"/>
      <c r="I23" s="4"/>
    </row>
    <row r="24" spans="1:9" ht="43.2" x14ac:dyDescent="0.3">
      <c r="A24" s="6" t="s">
        <v>28</v>
      </c>
      <c r="B24" s="6" t="s">
        <v>29</v>
      </c>
      <c r="C24" s="6" t="s">
        <v>35</v>
      </c>
      <c r="D24" s="5"/>
      <c r="E24" s="4"/>
      <c r="F24" s="4"/>
      <c r="G24" s="4"/>
      <c r="H24" s="4"/>
      <c r="I24" s="4"/>
    </row>
    <row r="25" spans="1:9" x14ac:dyDescent="0.3">
      <c r="A25" s="6" t="s">
        <v>28</v>
      </c>
      <c r="B25" s="6" t="s">
        <v>29</v>
      </c>
      <c r="C25" s="6" t="s">
        <v>36</v>
      </c>
      <c r="D25" s="5"/>
      <c r="E25" s="4"/>
      <c r="F25" s="4"/>
      <c r="G25" s="4"/>
      <c r="H25" s="4"/>
      <c r="I25" s="4"/>
    </row>
    <row r="26" spans="1:9" ht="57.6" x14ac:dyDescent="0.3">
      <c r="A26" s="6" t="s">
        <v>28</v>
      </c>
      <c r="B26" s="6" t="s">
        <v>29</v>
      </c>
      <c r="C26" s="6" t="s">
        <v>37</v>
      </c>
      <c r="D26" s="5" t="s">
        <v>116</v>
      </c>
      <c r="E26" s="4" t="s">
        <v>100</v>
      </c>
      <c r="F26" s="9" t="s">
        <v>95</v>
      </c>
      <c r="G26" s="4"/>
      <c r="H26" s="4"/>
      <c r="I26" s="4"/>
    </row>
    <row r="27" spans="1:9" x14ac:dyDescent="0.3">
      <c r="A27" s="6" t="s">
        <v>28</v>
      </c>
      <c r="B27" s="6" t="s">
        <v>29</v>
      </c>
      <c r="C27" s="6" t="s">
        <v>38</v>
      </c>
      <c r="D27" s="5" t="s">
        <v>128</v>
      </c>
      <c r="E27" s="4" t="s">
        <v>100</v>
      </c>
      <c r="F27" s="10" t="s">
        <v>94</v>
      </c>
      <c r="G27" s="4"/>
      <c r="H27" s="4"/>
      <c r="I27" s="4"/>
    </row>
    <row r="28" spans="1:9" x14ac:dyDescent="0.3">
      <c r="A28" s="6" t="s">
        <v>28</v>
      </c>
      <c r="B28" s="6" t="s">
        <v>29</v>
      </c>
      <c r="C28" s="6" t="s">
        <v>39</v>
      </c>
      <c r="D28" s="5"/>
      <c r="E28" s="4"/>
      <c r="F28" s="4"/>
      <c r="G28" s="4"/>
      <c r="H28" s="4"/>
      <c r="I28" s="4"/>
    </row>
    <row r="29" spans="1:9" x14ac:dyDescent="0.3">
      <c r="A29" s="6" t="s">
        <v>28</v>
      </c>
      <c r="B29" s="6" t="s">
        <v>29</v>
      </c>
      <c r="C29" s="6" t="s">
        <v>40</v>
      </c>
      <c r="D29" s="5"/>
      <c r="E29" s="4"/>
      <c r="F29" s="4"/>
      <c r="G29" s="4"/>
      <c r="H29" s="4"/>
      <c r="I29" s="4"/>
    </row>
    <row r="30" spans="1:9" x14ac:dyDescent="0.3">
      <c r="A30" s="6" t="s">
        <v>28</v>
      </c>
      <c r="B30" s="6" t="s">
        <v>29</v>
      </c>
      <c r="C30" s="6" t="s">
        <v>41</v>
      </c>
      <c r="D30" s="5" t="s">
        <v>117</v>
      </c>
      <c r="E30" s="4" t="s">
        <v>100</v>
      </c>
      <c r="F30" s="10" t="s">
        <v>94</v>
      </c>
      <c r="G30" s="4"/>
      <c r="H30" s="4"/>
      <c r="I30" s="4"/>
    </row>
    <row r="31" spans="1:9" ht="57.6" x14ac:dyDescent="0.3">
      <c r="A31" s="6" t="s">
        <v>42</v>
      </c>
      <c r="B31" s="6" t="s">
        <v>43</v>
      </c>
      <c r="C31" s="6" t="s">
        <v>44</v>
      </c>
      <c r="D31" s="5" t="s">
        <v>141</v>
      </c>
      <c r="E31" s="4" t="s">
        <v>100</v>
      </c>
      <c r="F31" s="10" t="s">
        <v>94</v>
      </c>
      <c r="G31" s="4"/>
      <c r="H31" s="4"/>
      <c r="I31" s="4"/>
    </row>
    <row r="32" spans="1:9" ht="129.6" x14ac:dyDescent="0.3">
      <c r="A32" s="6" t="s">
        <v>42</v>
      </c>
      <c r="B32" s="6" t="s">
        <v>43</v>
      </c>
      <c r="C32" s="6" t="s">
        <v>45</v>
      </c>
      <c r="D32" s="5" t="s">
        <v>143</v>
      </c>
      <c r="E32" s="4" t="s">
        <v>100</v>
      </c>
      <c r="F32" s="10" t="s">
        <v>94</v>
      </c>
      <c r="G32" s="4"/>
      <c r="H32" s="4"/>
      <c r="I32" s="4"/>
    </row>
    <row r="33" spans="1:9" ht="216" x14ac:dyDescent="0.3">
      <c r="A33" s="6" t="s">
        <v>42</v>
      </c>
      <c r="B33" s="6" t="s">
        <v>43</v>
      </c>
      <c r="C33" s="6" t="s">
        <v>46</v>
      </c>
      <c r="D33" s="5" t="s">
        <v>144</v>
      </c>
      <c r="E33" s="4" t="s">
        <v>100</v>
      </c>
      <c r="F33" s="10" t="s">
        <v>94</v>
      </c>
      <c r="G33" s="4" t="s">
        <v>145</v>
      </c>
      <c r="H33" s="4" t="s">
        <v>126</v>
      </c>
      <c r="I33" s="12">
        <v>46106</v>
      </c>
    </row>
    <row r="34" spans="1:9" x14ac:dyDescent="0.3">
      <c r="A34" s="6" t="s">
        <v>42</v>
      </c>
      <c r="B34" s="6" t="s">
        <v>43</v>
      </c>
      <c r="C34" s="6" t="s">
        <v>47</v>
      </c>
      <c r="D34" s="5" t="s">
        <v>142</v>
      </c>
      <c r="E34" s="4" t="s">
        <v>100</v>
      </c>
      <c r="F34" s="10" t="s">
        <v>94</v>
      </c>
      <c r="G34" s="4"/>
      <c r="H34" s="4"/>
      <c r="I34" s="4"/>
    </row>
    <row r="35" spans="1:9" ht="57.6" x14ac:dyDescent="0.3">
      <c r="A35" s="6" t="s">
        <v>42</v>
      </c>
      <c r="B35" s="6" t="s">
        <v>43</v>
      </c>
      <c r="C35" s="6" t="s">
        <v>48</v>
      </c>
      <c r="D35" s="5" t="s">
        <v>146</v>
      </c>
      <c r="E35" s="4" t="s">
        <v>100</v>
      </c>
      <c r="F35" s="10" t="s">
        <v>94</v>
      </c>
      <c r="G35" s="4"/>
      <c r="H35" s="4"/>
      <c r="I35" s="4"/>
    </row>
    <row r="36" spans="1:9" ht="72" x14ac:dyDescent="0.3">
      <c r="A36" s="6" t="s">
        <v>42</v>
      </c>
      <c r="B36" s="6" t="s">
        <v>43</v>
      </c>
      <c r="C36" s="6" t="s">
        <v>49</v>
      </c>
      <c r="D36" s="5" t="s">
        <v>140</v>
      </c>
      <c r="E36" s="4" t="s">
        <v>100</v>
      </c>
      <c r="F36" s="10" t="s">
        <v>94</v>
      </c>
      <c r="G36" s="4"/>
      <c r="H36" s="4"/>
      <c r="I36" s="4"/>
    </row>
    <row r="37" spans="1:9" ht="43.2" x14ac:dyDescent="0.3">
      <c r="A37" s="6" t="s">
        <v>42</v>
      </c>
      <c r="B37" s="6" t="s">
        <v>43</v>
      </c>
      <c r="C37" s="6" t="s">
        <v>50</v>
      </c>
      <c r="D37" s="5" t="s">
        <v>147</v>
      </c>
      <c r="E37" s="4" t="s">
        <v>100</v>
      </c>
      <c r="F37" s="10" t="s">
        <v>94</v>
      </c>
      <c r="G37" s="4"/>
      <c r="H37" s="4"/>
      <c r="I37" s="4"/>
    </row>
    <row r="38" spans="1:9" x14ac:dyDescent="0.3">
      <c r="A38" s="6" t="s">
        <v>42</v>
      </c>
      <c r="B38" s="6" t="s">
        <v>43</v>
      </c>
      <c r="C38" s="6" t="s">
        <v>51</v>
      </c>
      <c r="D38" s="5"/>
      <c r="E38" s="4"/>
      <c r="F38" s="4"/>
      <c r="G38" s="4"/>
      <c r="H38" s="4"/>
      <c r="I38" s="4"/>
    </row>
    <row r="39" spans="1:9" ht="360.6" customHeight="1" x14ac:dyDescent="0.3">
      <c r="A39" s="6" t="s">
        <v>22</v>
      </c>
      <c r="B39" s="6" t="s">
        <v>52</v>
      </c>
      <c r="C39" s="6" t="s">
        <v>53</v>
      </c>
      <c r="D39" s="5" t="s">
        <v>148</v>
      </c>
      <c r="E39" s="4" t="s">
        <v>100</v>
      </c>
      <c r="F39" s="10" t="s">
        <v>94</v>
      </c>
      <c r="G39" s="4"/>
      <c r="H39" s="4"/>
      <c r="I39" s="4"/>
    </row>
    <row r="40" spans="1:9" ht="57.6" x14ac:dyDescent="0.3">
      <c r="A40" s="6" t="s">
        <v>22</v>
      </c>
      <c r="B40" s="6" t="s">
        <v>52</v>
      </c>
      <c r="C40" s="6" t="s">
        <v>54</v>
      </c>
      <c r="D40" s="5" t="s">
        <v>149</v>
      </c>
      <c r="E40" s="4" t="s">
        <v>100</v>
      </c>
      <c r="F40" s="10" t="s">
        <v>94</v>
      </c>
      <c r="G40" s="4"/>
      <c r="H40" s="4"/>
      <c r="I40" s="4"/>
    </row>
    <row r="41" spans="1:9" ht="129.6" x14ac:dyDescent="0.3">
      <c r="A41" s="6" t="s">
        <v>22</v>
      </c>
      <c r="B41" s="6" t="s">
        <v>52</v>
      </c>
      <c r="C41" s="6" t="s">
        <v>55</v>
      </c>
      <c r="D41" s="5" t="s">
        <v>150</v>
      </c>
      <c r="E41" s="4"/>
      <c r="F41" s="4"/>
      <c r="G41" s="4"/>
      <c r="H41" s="4"/>
      <c r="I41" s="4"/>
    </row>
    <row r="42" spans="1:9" x14ac:dyDescent="0.3">
      <c r="A42" s="6" t="s">
        <v>22</v>
      </c>
      <c r="B42" s="6" t="s">
        <v>52</v>
      </c>
      <c r="C42" s="6" t="s">
        <v>56</v>
      </c>
      <c r="D42" s="5"/>
      <c r="E42" s="4"/>
      <c r="F42" s="4"/>
      <c r="G42" s="4"/>
      <c r="H42" s="4"/>
      <c r="I42" s="4"/>
    </row>
    <row r="43" spans="1:9" x14ac:dyDescent="0.3">
      <c r="A43" s="6" t="s">
        <v>22</v>
      </c>
      <c r="B43" s="6" t="s">
        <v>52</v>
      </c>
      <c r="C43" s="6" t="s">
        <v>57</v>
      </c>
      <c r="D43" s="5"/>
      <c r="E43" s="4"/>
      <c r="F43" s="4"/>
      <c r="G43" s="4"/>
      <c r="H43" s="4"/>
      <c r="I43" s="4"/>
    </row>
    <row r="44" spans="1:9" x14ac:dyDescent="0.3">
      <c r="A44" s="6" t="s">
        <v>22</v>
      </c>
      <c r="B44" s="6" t="s">
        <v>52</v>
      </c>
      <c r="C44" s="6" t="s">
        <v>58</v>
      </c>
      <c r="D44" s="5"/>
      <c r="E44" s="4"/>
      <c r="F44" s="4"/>
      <c r="G44" s="4"/>
      <c r="H44" s="4"/>
      <c r="I44" s="4"/>
    </row>
    <row r="45" spans="1:9" x14ac:dyDescent="0.3">
      <c r="A45" s="6" t="s">
        <v>59</v>
      </c>
      <c r="B45" s="6" t="s">
        <v>60</v>
      </c>
      <c r="C45" s="6" t="s">
        <v>61</v>
      </c>
      <c r="D45" s="5"/>
      <c r="E45" s="4"/>
      <c r="F45" s="4"/>
      <c r="G45" s="4"/>
      <c r="H45" s="4"/>
      <c r="I45" s="4"/>
    </row>
    <row r="46" spans="1:9" ht="28.8" x14ac:dyDescent="0.3">
      <c r="A46" s="6" t="s">
        <v>59</v>
      </c>
      <c r="B46" s="6" t="s">
        <v>60</v>
      </c>
      <c r="C46" s="6" t="s">
        <v>62</v>
      </c>
      <c r="D46" s="5"/>
      <c r="E46" s="4"/>
      <c r="F46" s="4"/>
      <c r="G46" s="4"/>
      <c r="H46" s="4"/>
      <c r="I46" s="4"/>
    </row>
    <row r="47" spans="1:9" x14ac:dyDescent="0.3">
      <c r="A47" s="6" t="s">
        <v>59</v>
      </c>
      <c r="B47" s="6" t="s">
        <v>60</v>
      </c>
      <c r="C47" s="6" t="s">
        <v>63</v>
      </c>
      <c r="D47" s="5"/>
      <c r="E47" s="4"/>
      <c r="F47" s="4"/>
      <c r="G47" s="4"/>
      <c r="H47" s="4"/>
      <c r="I47" s="4"/>
    </row>
    <row r="48" spans="1:9" x14ac:dyDescent="0.3">
      <c r="A48" s="6" t="s">
        <v>59</v>
      </c>
      <c r="B48" s="6" t="s">
        <v>60</v>
      </c>
      <c r="C48" s="6" t="s">
        <v>64</v>
      </c>
      <c r="D48" s="5"/>
      <c r="E48" s="4"/>
      <c r="F48" s="4"/>
      <c r="G48" s="4"/>
      <c r="H48" s="4"/>
      <c r="I48" s="4"/>
    </row>
    <row r="49" spans="1:9" ht="28.8" x14ac:dyDescent="0.3">
      <c r="A49" s="6" t="s">
        <v>42</v>
      </c>
      <c r="B49" s="6" t="s">
        <v>65</v>
      </c>
      <c r="C49" s="6" t="s">
        <v>66</v>
      </c>
      <c r="D49" s="5"/>
      <c r="E49" s="4"/>
      <c r="F49" s="4"/>
      <c r="G49" s="4"/>
      <c r="H49" s="4"/>
      <c r="I49" s="4"/>
    </row>
    <row r="50" spans="1:9" ht="28.8" x14ac:dyDescent="0.3">
      <c r="A50" s="6" t="s">
        <v>42</v>
      </c>
      <c r="B50" s="6" t="s">
        <v>65</v>
      </c>
      <c r="C50" s="6" t="s">
        <v>67</v>
      </c>
      <c r="D50" s="5"/>
      <c r="E50" s="4"/>
      <c r="F50" s="4"/>
      <c r="G50" s="4"/>
      <c r="H50" s="4"/>
      <c r="I50" s="4"/>
    </row>
    <row r="51" spans="1:9" ht="95.4" customHeight="1" x14ac:dyDescent="0.3">
      <c r="A51" s="6" t="s">
        <v>42</v>
      </c>
      <c r="B51" s="6" t="s">
        <v>65</v>
      </c>
      <c r="C51" s="6" t="s">
        <v>68</v>
      </c>
      <c r="D51" s="5" t="s">
        <v>118</v>
      </c>
      <c r="E51" s="4" t="s">
        <v>100</v>
      </c>
      <c r="F51" s="10" t="s">
        <v>94</v>
      </c>
      <c r="G51" s="4"/>
      <c r="H51" s="4"/>
      <c r="I51" s="4"/>
    </row>
    <row r="52" spans="1:9" ht="330" customHeight="1" x14ac:dyDescent="0.3">
      <c r="A52" s="6" t="s">
        <v>42</v>
      </c>
      <c r="B52" s="6" t="s">
        <v>65</v>
      </c>
      <c r="C52" s="6" t="s">
        <v>69</v>
      </c>
      <c r="D52" s="5" t="s">
        <v>124</v>
      </c>
      <c r="E52" s="4" t="s">
        <v>100</v>
      </c>
      <c r="F52" s="10" t="s">
        <v>94</v>
      </c>
      <c r="G52" s="4" t="s">
        <v>135</v>
      </c>
      <c r="H52" s="4" t="s">
        <v>126</v>
      </c>
      <c r="I52" s="12">
        <v>46104</v>
      </c>
    </row>
    <row r="53" spans="1:9" ht="338.4" customHeight="1" x14ac:dyDescent="0.3">
      <c r="A53" s="6" t="s">
        <v>42</v>
      </c>
      <c r="B53" s="6" t="s">
        <v>65</v>
      </c>
      <c r="C53" s="6" t="s">
        <v>70</v>
      </c>
      <c r="D53" s="5" t="s">
        <v>122</v>
      </c>
      <c r="E53" s="4" t="s">
        <v>100</v>
      </c>
      <c r="F53" s="10" t="s">
        <v>94</v>
      </c>
      <c r="G53" s="4" t="s">
        <v>135</v>
      </c>
      <c r="H53" s="4" t="s">
        <v>126</v>
      </c>
      <c r="I53" s="12">
        <v>46104</v>
      </c>
    </row>
    <row r="54" spans="1:9" ht="61.8" customHeight="1" x14ac:dyDescent="0.3">
      <c r="A54" s="6" t="s">
        <v>42</v>
      </c>
      <c r="B54" s="6" t="s">
        <v>65</v>
      </c>
      <c r="C54" s="6" t="s">
        <v>71</v>
      </c>
      <c r="D54" s="5" t="s">
        <v>119</v>
      </c>
      <c r="E54" s="4" t="s">
        <v>100</v>
      </c>
      <c r="F54" s="10" t="s">
        <v>94</v>
      </c>
      <c r="G54" s="4" t="s">
        <v>135</v>
      </c>
      <c r="H54" s="4" t="s">
        <v>126</v>
      </c>
      <c r="I54" s="12">
        <v>46104</v>
      </c>
    </row>
    <row r="55" spans="1:9" ht="183.6" customHeight="1" x14ac:dyDescent="0.3">
      <c r="A55" s="6" t="s">
        <v>42</v>
      </c>
      <c r="B55" s="6" t="s">
        <v>65</v>
      </c>
      <c r="C55" s="6" t="s">
        <v>72</v>
      </c>
      <c r="D55" s="5" t="s">
        <v>123</v>
      </c>
      <c r="E55" s="4" t="s">
        <v>100</v>
      </c>
      <c r="F55" s="10" t="s">
        <v>94</v>
      </c>
      <c r="G55" s="4" t="s">
        <v>135</v>
      </c>
      <c r="H55" s="4" t="s">
        <v>126</v>
      </c>
      <c r="I55" s="12">
        <v>46104</v>
      </c>
    </row>
    <row r="56" spans="1:9" ht="28.8" x14ac:dyDescent="0.3">
      <c r="A56" s="6" t="s">
        <v>42</v>
      </c>
      <c r="B56" s="6" t="s">
        <v>65</v>
      </c>
      <c r="C56" s="6" t="s">
        <v>73</v>
      </c>
      <c r="D56" s="5" t="s">
        <v>120</v>
      </c>
      <c r="E56" s="4" t="s">
        <v>100</v>
      </c>
      <c r="F56" s="10" t="s">
        <v>94</v>
      </c>
      <c r="G56" s="4"/>
      <c r="H56" s="4"/>
      <c r="I56" s="4"/>
    </row>
    <row r="57" spans="1:9" ht="409.6" customHeight="1" x14ac:dyDescent="0.3">
      <c r="A57" s="6" t="s">
        <v>42</v>
      </c>
      <c r="B57" s="6" t="s">
        <v>65</v>
      </c>
      <c r="C57" s="6" t="s">
        <v>74</v>
      </c>
      <c r="D57" s="5" t="s">
        <v>125</v>
      </c>
      <c r="E57" s="4" t="s">
        <v>100</v>
      </c>
      <c r="F57" s="10" t="s">
        <v>94</v>
      </c>
      <c r="G57" s="4" t="s">
        <v>135</v>
      </c>
      <c r="H57" s="4" t="s">
        <v>126</v>
      </c>
      <c r="I57" s="12">
        <v>46104</v>
      </c>
    </row>
    <row r="58" spans="1:9" ht="28.8" x14ac:dyDescent="0.3">
      <c r="A58" s="6" t="s">
        <v>42</v>
      </c>
      <c r="B58" s="6" t="s">
        <v>65</v>
      </c>
      <c r="C58" s="6" t="s">
        <v>75</v>
      </c>
      <c r="D58" s="5" t="s">
        <v>129</v>
      </c>
      <c r="E58" s="4" t="s">
        <v>100</v>
      </c>
      <c r="F58" s="10" t="s">
        <v>94</v>
      </c>
      <c r="G58" s="4"/>
      <c r="H58" s="4"/>
      <c r="I58" s="4"/>
    </row>
    <row r="59" spans="1:9" ht="28.8" x14ac:dyDescent="0.3">
      <c r="A59" s="6" t="s">
        <v>42</v>
      </c>
      <c r="B59" s="6" t="s">
        <v>65</v>
      </c>
      <c r="C59" s="6" t="s">
        <v>76</v>
      </c>
      <c r="D59" s="5" t="s">
        <v>121</v>
      </c>
      <c r="E59" s="4" t="s">
        <v>100</v>
      </c>
      <c r="F59" s="10" t="s">
        <v>94</v>
      </c>
      <c r="G59" s="4" t="s">
        <v>130</v>
      </c>
      <c r="H59" s="4" t="s">
        <v>126</v>
      </c>
      <c r="I59" s="12">
        <v>46104</v>
      </c>
    </row>
    <row r="60" spans="1:9" ht="43.2" x14ac:dyDescent="0.3">
      <c r="A60" s="6" t="s">
        <v>42</v>
      </c>
      <c r="B60" s="6" t="s">
        <v>65</v>
      </c>
      <c r="C60" s="6" t="s">
        <v>77</v>
      </c>
      <c r="D60" s="5" t="s">
        <v>131</v>
      </c>
      <c r="E60" s="4" t="s">
        <v>100</v>
      </c>
      <c r="F60" s="10" t="s">
        <v>94</v>
      </c>
      <c r="G60" s="4" t="s">
        <v>132</v>
      </c>
      <c r="H60" s="4" t="s">
        <v>126</v>
      </c>
      <c r="I60" s="12">
        <v>46104</v>
      </c>
    </row>
    <row r="61" spans="1:9" ht="28.8" x14ac:dyDescent="0.3">
      <c r="A61" s="6" t="s">
        <v>42</v>
      </c>
      <c r="B61" s="6" t="s">
        <v>65</v>
      </c>
      <c r="C61" s="6" t="s">
        <v>78</v>
      </c>
      <c r="D61" s="5" t="s">
        <v>133</v>
      </c>
      <c r="E61" s="4" t="s">
        <v>100</v>
      </c>
      <c r="F61" s="10" t="s">
        <v>94</v>
      </c>
      <c r="G61" s="4" t="s">
        <v>134</v>
      </c>
      <c r="H61" s="4" t="s">
        <v>126</v>
      </c>
      <c r="I61" s="12">
        <v>46105</v>
      </c>
    </row>
    <row r="62" spans="1:9" ht="57" customHeight="1" x14ac:dyDescent="0.3">
      <c r="A62" s="6" t="s">
        <v>42</v>
      </c>
      <c r="B62" s="6" t="s">
        <v>65</v>
      </c>
      <c r="C62" s="6" t="s">
        <v>79</v>
      </c>
      <c r="D62" s="5" t="s">
        <v>136</v>
      </c>
      <c r="E62" s="4" t="s">
        <v>100</v>
      </c>
      <c r="F62" s="10" t="s">
        <v>94</v>
      </c>
      <c r="G62" s="4" t="s">
        <v>135</v>
      </c>
      <c r="H62" s="4" t="s">
        <v>126</v>
      </c>
      <c r="I62" s="12">
        <v>46104</v>
      </c>
    </row>
    <row r="63" spans="1:9" ht="57.6" x14ac:dyDescent="0.3">
      <c r="A63" s="6" t="s">
        <v>42</v>
      </c>
      <c r="B63" s="6" t="s">
        <v>65</v>
      </c>
      <c r="C63" s="6" t="s">
        <v>80</v>
      </c>
      <c r="D63" s="5" t="s">
        <v>137</v>
      </c>
      <c r="E63" s="4" t="s">
        <v>100</v>
      </c>
      <c r="F63" s="10" t="s">
        <v>94</v>
      </c>
      <c r="G63" s="4" t="s">
        <v>135</v>
      </c>
      <c r="H63" s="4" t="s">
        <v>126</v>
      </c>
      <c r="I63" s="12">
        <v>46104</v>
      </c>
    </row>
    <row r="64" spans="1:9" ht="244.8" x14ac:dyDescent="0.3">
      <c r="A64" s="6" t="s">
        <v>9</v>
      </c>
      <c r="B64" s="6" t="s">
        <v>81</v>
      </c>
      <c r="C64" s="6" t="s">
        <v>103</v>
      </c>
      <c r="D64" s="5" t="s">
        <v>138</v>
      </c>
      <c r="E64" s="4" t="s">
        <v>100</v>
      </c>
      <c r="F64" s="10" t="s">
        <v>94</v>
      </c>
      <c r="G64" s="4"/>
      <c r="H64" s="4"/>
      <c r="I64" s="4"/>
    </row>
    <row r="65" spans="1:9" ht="158.4" x14ac:dyDescent="0.3">
      <c r="A65" s="6" t="s">
        <v>9</v>
      </c>
      <c r="B65" s="6" t="s">
        <v>81</v>
      </c>
      <c r="C65" s="6" t="s">
        <v>82</v>
      </c>
      <c r="D65" s="5" t="s">
        <v>139</v>
      </c>
      <c r="E65" s="4" t="s">
        <v>100</v>
      </c>
      <c r="F65" s="10" t="s">
        <v>94</v>
      </c>
      <c r="G65" s="4"/>
      <c r="H65" s="4"/>
      <c r="I65" s="4"/>
    </row>
    <row r="66" spans="1:9" x14ac:dyDescent="0.3">
      <c r="A66" s="6" t="s">
        <v>9</v>
      </c>
      <c r="B66" s="6" t="s">
        <v>81</v>
      </c>
      <c r="C66" s="6" t="s">
        <v>83</v>
      </c>
      <c r="D66" s="5"/>
      <c r="E66" s="4"/>
      <c r="F66" s="4"/>
      <c r="G66" s="4"/>
      <c r="H66" s="4"/>
      <c r="I66" s="4"/>
    </row>
    <row r="67" spans="1:9" ht="43.2" x14ac:dyDescent="0.3">
      <c r="A67" s="6" t="s">
        <v>9</v>
      </c>
      <c r="B67" s="6" t="s">
        <v>81</v>
      </c>
      <c r="C67" s="6" t="s">
        <v>84</v>
      </c>
      <c r="D67" s="5"/>
      <c r="E67" s="4"/>
      <c r="F67" s="4"/>
      <c r="G67" s="4"/>
      <c r="H67" s="4"/>
      <c r="I67" s="4"/>
    </row>
    <row r="68" spans="1:9" x14ac:dyDescent="0.3">
      <c r="A68" s="6" t="s">
        <v>9</v>
      </c>
      <c r="B68" s="6" t="s">
        <v>81</v>
      </c>
      <c r="C68" s="6" t="s">
        <v>85</v>
      </c>
      <c r="D68" s="5"/>
      <c r="E68" s="4"/>
      <c r="F68" s="4"/>
      <c r="G68" s="4"/>
      <c r="H68" s="4"/>
      <c r="I68" s="4"/>
    </row>
    <row r="69" spans="1:9" x14ac:dyDescent="0.3">
      <c r="A69" s="6" t="s">
        <v>9</v>
      </c>
      <c r="B69" s="6" t="s">
        <v>81</v>
      </c>
      <c r="C69" s="6" t="s">
        <v>86</v>
      </c>
      <c r="D69" s="5"/>
      <c r="E69" s="4"/>
      <c r="F69" s="4"/>
      <c r="G69" s="4"/>
      <c r="H69" s="4"/>
      <c r="I69" s="4"/>
    </row>
    <row r="70" spans="1:9" ht="28.8" x14ac:dyDescent="0.3">
      <c r="A70" s="6" t="s">
        <v>9</v>
      </c>
      <c r="B70" s="6" t="s">
        <v>81</v>
      </c>
      <c r="C70" s="6" t="s">
        <v>87</v>
      </c>
      <c r="D70" s="5"/>
      <c r="E70" s="4"/>
      <c r="F70" s="4"/>
      <c r="G70" s="4"/>
      <c r="H70" s="4"/>
      <c r="I70" s="4"/>
    </row>
    <row r="71" spans="1:9" x14ac:dyDescent="0.3">
      <c r="A71" s="6" t="s">
        <v>9</v>
      </c>
      <c r="B71" s="6" t="s">
        <v>81</v>
      </c>
      <c r="C71" s="6" t="s">
        <v>88</v>
      </c>
      <c r="D71" s="5"/>
      <c r="E71" s="4"/>
      <c r="F71" s="4"/>
      <c r="G71" s="4"/>
      <c r="H71" s="4"/>
      <c r="I71" s="4"/>
    </row>
    <row r="72" spans="1:9" x14ac:dyDescent="0.3">
      <c r="A72" s="6" t="s">
        <v>9</v>
      </c>
      <c r="B72" s="6" t="s">
        <v>81</v>
      </c>
      <c r="C72" s="6" t="s">
        <v>89</v>
      </c>
      <c r="D72" s="5"/>
      <c r="E72" s="4"/>
      <c r="F72" s="4"/>
      <c r="G72" s="4"/>
      <c r="H72" s="4"/>
      <c r="I72" s="4"/>
    </row>
  </sheetData>
  <dataValidations count="2">
    <dataValidation type="list" allowBlank="1" sqref="E2:E72" xr:uid="{00000000-0002-0000-0000-000000000000}">
      <formula1>"Yes,No"</formula1>
    </dataValidation>
    <dataValidation type="list" allowBlank="1" sqref="F2:F72" xr:uid="{00000000-0002-0000-0000-000001000000}">
      <formula1>"Red,Amber,Green"</formula1>
    </dataValidation>
  </dataValidations>
  <pageMargins left="0.75" right="0.75" top="1" bottom="1" header="0.5" footer="0.5"/>
  <pageSetup paperSize="9" scale="54"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pane ySplit="14" topLeftCell="A15" activePane="bottomLeft" state="frozen"/>
      <selection pane="bottomLeft" activeCell="D15" sqref="D15"/>
    </sheetView>
  </sheetViews>
  <sheetFormatPr defaultRowHeight="14.4" x14ac:dyDescent="0.3"/>
  <cols>
    <col min="1" max="1" width="22.44140625" customWidth="1"/>
    <col min="2" max="4" width="22" customWidth="1"/>
  </cols>
  <sheetData>
    <row r="1" spans="1:4" ht="18" x14ac:dyDescent="0.35">
      <c r="A1" s="1" t="s">
        <v>90</v>
      </c>
    </row>
    <row r="3" spans="1:4" x14ac:dyDescent="0.3">
      <c r="A3" t="s">
        <v>91</v>
      </c>
      <c r="B3">
        <f>COUNTA('Audit Tool'!C:C)-1</f>
        <v>71</v>
      </c>
    </row>
    <row r="4" spans="1:4" x14ac:dyDescent="0.3">
      <c r="A4" t="s">
        <v>92</v>
      </c>
      <c r="B4">
        <f>COUNTIF('Audit Tool'!E:E,"Yes")</f>
        <v>38</v>
      </c>
    </row>
    <row r="5" spans="1:4" x14ac:dyDescent="0.3">
      <c r="A5" t="s">
        <v>93</v>
      </c>
      <c r="B5">
        <f>COUNTIF('Audit Tool'!E:E,"No")</f>
        <v>1</v>
      </c>
    </row>
    <row r="7" spans="1:4" x14ac:dyDescent="0.3">
      <c r="A7" t="s">
        <v>94</v>
      </c>
      <c r="B7">
        <f>COUNTIF('Audit Tool'!F:F,"Green")</f>
        <v>37</v>
      </c>
    </row>
    <row r="8" spans="1:4" x14ac:dyDescent="0.3">
      <c r="A8" t="s">
        <v>95</v>
      </c>
      <c r="B8">
        <f>COUNTIF('Audit Tool'!F:F,"Amber")</f>
        <v>2</v>
      </c>
    </row>
    <row r="9" spans="1:4" x14ac:dyDescent="0.3">
      <c r="A9" t="s">
        <v>96</v>
      </c>
      <c r="B9">
        <f>COUNTIF('Audit Tool'!F:F,"Red")</f>
        <v>0</v>
      </c>
    </row>
    <row r="11" spans="1:4" x14ac:dyDescent="0.3">
      <c r="A11" t="s">
        <v>97</v>
      </c>
      <c r="B11" s="2">
        <f>IFERROR(B4/(B4+B5),0)</f>
        <v>0.97435897435897434</v>
      </c>
    </row>
    <row r="13" spans="1:4" x14ac:dyDescent="0.3">
      <c r="A13" s="3" t="s">
        <v>98</v>
      </c>
    </row>
    <row r="14" spans="1:4" x14ac:dyDescent="0.3">
      <c r="A14" s="3" t="s">
        <v>99</v>
      </c>
      <c r="B14" s="3" t="s">
        <v>100</v>
      </c>
      <c r="C14" s="3" t="s">
        <v>101</v>
      </c>
      <c r="D14" s="3" t="s">
        <v>102</v>
      </c>
    </row>
    <row r="15" spans="1:4" x14ac:dyDescent="0.3">
      <c r="A15" t="s">
        <v>42</v>
      </c>
      <c r="B15">
        <f>COUNTIFS('Audit Tool'!A:A,"SAFE",'Audit Tool'!E:E,"Yes")</f>
        <v>20</v>
      </c>
      <c r="C15">
        <f>COUNTIFS('Audit Tool'!A:A,"SAFE",'Audit Tool'!E:E,"No")</f>
        <v>0</v>
      </c>
      <c r="D15" s="2">
        <f>IFERROR(B15/(B15+C15),0)</f>
        <v>1</v>
      </c>
    </row>
    <row r="16" spans="1:4" x14ac:dyDescent="0.3">
      <c r="A16" t="s">
        <v>22</v>
      </c>
      <c r="B16">
        <f>COUNTIFS('Audit Tool'!A:A,"EFFECTIVE",'Audit Tool'!E:E,"Yes")</f>
        <v>2</v>
      </c>
      <c r="C16">
        <f>COUNTIFS('Audit Tool'!A:A,"EFFECTIVE",'Audit Tool'!E:E,"No")</f>
        <v>0</v>
      </c>
      <c r="D16" s="2">
        <f>IFERROR(B16/(B16+C16),0)</f>
        <v>1</v>
      </c>
    </row>
    <row r="17" spans="1:4" x14ac:dyDescent="0.3">
      <c r="A17" t="s">
        <v>28</v>
      </c>
      <c r="B17">
        <f>COUNTIFS('Audit Tool'!A:A,"CARING",'Audit Tool'!E:E,"Yes")</f>
        <v>5</v>
      </c>
      <c r="C17">
        <f>COUNTIFS('Audit Tool'!A:A,"CARING",'Audit Tool'!E:E,"No")</f>
        <v>0</v>
      </c>
      <c r="D17" s="2">
        <f>IFERROR(B17/(B17+C17),0)</f>
        <v>1</v>
      </c>
    </row>
    <row r="18" spans="1:4" x14ac:dyDescent="0.3">
      <c r="A18" t="s">
        <v>59</v>
      </c>
      <c r="B18">
        <f>COUNTIFS('Audit Tool'!A:A,"RESPONSIVE",'Audit Tool'!E:E,"Yes")</f>
        <v>0</v>
      </c>
      <c r="C18">
        <f>COUNTIFS('Audit Tool'!A:A,"RESPONSIVE",'Audit Tool'!E:E,"No")</f>
        <v>0</v>
      </c>
      <c r="D18" s="2">
        <f>IFERROR(B18/(B18+C18),0)</f>
        <v>0</v>
      </c>
    </row>
    <row r="19" spans="1:4" x14ac:dyDescent="0.3">
      <c r="A19" t="s">
        <v>9</v>
      </c>
      <c r="B19">
        <f>COUNTIFS('Audit Tool'!A:A,"WELL-LED",'Audit Tool'!E:E,"Yes")</f>
        <v>11</v>
      </c>
      <c r="C19">
        <f>COUNTIFS('Audit Tool'!A:A,"WELL-LED",'Audit Tool'!E:E,"No")</f>
        <v>1</v>
      </c>
      <c r="D19" s="2">
        <f>IFERROR(B19/(B19+C19),0)</f>
        <v>0.91666666666666663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 Tool</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Helen Nicolau</cp:lastModifiedBy>
  <cp:revision/>
  <dcterms:created xsi:type="dcterms:W3CDTF">2026-01-15T13:02:38Z</dcterms:created>
  <dcterms:modified xsi:type="dcterms:W3CDTF">2026-03-25T14:04:33Z</dcterms:modified>
  <cp:category/>
  <cp:contentStatus/>
</cp:coreProperties>
</file>